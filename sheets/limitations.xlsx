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/>
  </bookViews>
  <sheets>
    <sheet name="Resumo geral" sheetId="1" r:id="rId1"/>
    <sheet name="Detalhes" sheetId="2" r:id="rId2"/>
  </sheets>
  <definedNames>
    <definedName name="_xlnm._FilterDatabase" localSheetId="1" hidden="1">Detalhes!$A$1:$C$152</definedName>
  </definedNames>
  <calcPr calcId="144525"/>
</workbook>
</file>

<file path=xl/sharedStrings.xml><?xml version="1.0" encoding="utf-8"?>
<sst xmlns="http://schemas.openxmlformats.org/spreadsheetml/2006/main" count="329" uniqueCount="176">
  <si>
    <t>Resumo geral das limitações reportadas</t>
  </si>
  <si>
    <t>Métrica</t>
  </si>
  <si>
    <t>Valor</t>
  </si>
  <si>
    <t>Study IDs</t>
  </si>
  <si>
    <t>ID</t>
  </si>
  <si>
    <t>Total de estudos</t>
  </si>
  <si>
    <t>Total de limitações</t>
  </si>
  <si>
    <t>Categorias</t>
  </si>
  <si>
    <t>Frequência por categoria</t>
  </si>
  <si>
    <t>Categoria</t>
  </si>
  <si>
    <t>Frequência</t>
  </si>
  <si>
    <t>% das limitações</t>
  </si>
  <si>
    <t>% dos estudos com pelo menos 1 ocorrência</t>
  </si>
  <si>
    <t>Data</t>
  </si>
  <si>
    <t>Method</t>
  </si>
  <si>
    <t>Generalization</t>
  </si>
  <si>
    <t>Cost</t>
  </si>
  <si>
    <t>Preprocessing</t>
  </si>
  <si>
    <t>Nota</t>
  </si>
  <si>
    <t>As porcentagens por categoria usam a frequência de limitações reportadas, não o número de estudos. Um estudo pode contribuir para várias categorias.</t>
  </si>
  <si>
    <t>Limitações por estudo</t>
  </si>
  <si>
    <t>Study ID</t>
  </si>
  <si>
    <t>Categorias distintas</t>
  </si>
  <si>
    <t>Limitation</t>
  </si>
  <si>
    <t>Category</t>
  </si>
  <si>
    <t>Large projects like PRODES and TerraClass still rely on a significant portion of work done by human intervention.</t>
  </si>
  <si>
    <t>A major challenge in training CNNs with remote sensing images is that the classes are unbalanced, with a great imbalance in the area of various types of soils.</t>
  </si>
  <si>
    <t>Class imbalance can lead optimization methods to perform better only in the most frequent classes during CNN training.</t>
  </si>
  <si>
    <t>Previously published works have evaluated specific regions of the Amazon but did not make their benchmark datasets available, limiting the diversification of solutions to the real world.</t>
  </si>
  <si>
    <t>No adequate deep learning model for land use/cover classification was found encompassing the many varieties of existing environments in the Amazon region.</t>
  </si>
  <si>
    <t>Training CNNs using mosaic images consisting of 40x40-pixel patches tends to generate images cut out with patches of the same size.</t>
  </si>
  <si>
    <t>In the results of CNN classification, there are some regions incorrectly classified as forest.</t>
  </si>
  <si>
    <t>A permanent challenge in studies with optical sensor data is the geographical and temporal discontinuity due to cloud cover that impacts the detection of the rice paddy’s diagnostic phases.</t>
  </si>
  <si>
    <t>The optical data gap due to cloud coverage makes it challenging to apply trained networks from one year to another.</t>
  </si>
  <si>
    <t>Deep learning approaches using sequential data analysis consider only temporal information.</t>
  </si>
  <si>
    <t>Deep learning approaches using sequential data analysis disregard the spatial pattern of rice plantations demarcated by homogeneous morphology and irrigation channels.</t>
  </si>
  <si>
    <t>The applicability of the proposed methodology is currently valid only for irrigated rice crops in southern Brazil.</t>
  </si>
  <si>
    <t>Cultivated land in mountainous areas is often interspersed with forests, shrubs, and rocks, resulting in highly fragmented and irregularly shaped plots.</t>
  </si>
  <si>
    <t>The complex topography and diverse ecological environment make it difficult to apply traditional land survey and remote sensing methods.</t>
  </si>
  <si>
    <t>Applying generic computer vision models directly to the task of cultivated land extraction from satellite images often results in poor extraction outcomes, such as edge misclassification, holes, and noise.</t>
  </si>
  <si>
    <t>The method faces significant challenges in practical applications due to the complexity of the mountainous ecological environment where cultivated land, scrubland, forest, and other features are interspersed.</t>
  </si>
  <si>
    <t>The spectral characteristics of interspersed cultivated land, scrubland, and forest features are similar.</t>
  </si>
  <si>
    <t>Luxuriant crop growth makes it difficult to distinguish crops from other land features in single-time-phase imagery.</t>
  </si>
  <si>
    <t>Mixed cropping is common with multiple crops often grown in the same plot, which results in uneven spectral features and complicates the classification accuracy of remote sensing images.</t>
  </si>
  <si>
    <t>Relying solely on imagery from a single time period significantly reduces classification accuracy, particularly in the off-season when crop phenology is less distinct and spectral differences are minimal.</t>
  </si>
  <si>
    <t>Current methods heavily depend on the timing of image acquisition.</t>
  </si>
  <si>
    <t>The proposed method has a reliance on high-resolution imagery.</t>
  </si>
  <si>
    <t>There is a need for multi-temporal data for accurate crop phenology mapping.</t>
  </si>
  <si>
    <t>The Refinement Module (RM) includes an independent backbone network for feature reconstruction which increases the model complexity.</t>
  </si>
  <si>
    <t>Adopting a three-level iterative Refinement Module (RM) architecture increases the overall model complexity.</t>
  </si>
  <si>
    <t>There are redundant parameters in the Refinement Module (RM) that require optimization in future research.</t>
  </si>
  <si>
    <t>Sensor calibration errors and tedious processing put a constraint on the use of Landsat data.</t>
  </si>
  <si>
    <t>MODIS data is not suitable for large-scale crop classification due to its low spatial resolution of 250 meters.</t>
  </si>
  <si>
    <t>Sentinel-2 data faces a greater challenge in the presence of mixed pixels representing a mixture of distinct materials.</t>
  </si>
  <si>
    <t>Most previously reported work used ground truth maps that do not provide sub-pixel level information.</t>
  </si>
  <si>
    <t>Fine features are impossible to classify due to low spatial resolution imagery.</t>
  </si>
  <si>
    <t>Low spatial resolution imagery makes it impossible to separate the pure signature of each object or feature because the pixel size is larger than the object or area of interest.</t>
  </si>
  <si>
    <t>The presence of mixed pixels negatively affects the classification accuracy.</t>
  </si>
  <si>
    <t>The low performance of Conv2D in the IRRI class compared to the Basmati class is due to its low temporal resolution caused by cloud cover in the growing season.</t>
  </si>
  <si>
    <t>Seeds of rice varieties are mixed with other varieties, which changes the spectral characteristics and vegetation indices values due to different growing habits and affects classifier performance.</t>
  </si>
  <si>
    <t>Identifying rapeseed fields during the growing season is challenging when relying solely on spectral coefficients due to similar growth periods and spectral reflectance characteristics shared with winter wheat.</t>
  </si>
  <si>
    <t>The effectiveness of deep learning models depends heavily on the quality of manually delineated training data, which is susceptible to inaccurate or inconsistent labeling.</t>
  </si>
  <si>
    <t>During the initial flowering stage, the visual characteristics of rapeseed fields are not distinct enough and are only subtly different from other extensively planted vegetation.</t>
  </si>
  <si>
    <t>The ground truth data obtained for rapeseed field locations are in point format and lack boundary information.</t>
  </si>
  <si>
    <t>Manual delineation of rapeseed field boundaries from 10-meter resolution Sentinel imagery may be affected by mixed pixels and introduce potential errors.</t>
  </si>
  <si>
    <t>Pixels of 10-meter resolution may cover multiple land cover types where rapeseed field boundaries intersect with other crops, resulting in mixed pixels.</t>
  </si>
  <si>
    <t>The boundary pixels between different crop categories often have ambiguous characteristics, which affects the accuracy of land cover classification.</t>
  </si>
  <si>
    <t>The complexity of the ground vegetation texture, shape, and spatial distribution information in high-resolution imagery can impact the accuracy of deep learning classification.</t>
  </si>
  <si>
    <t>The classification of high-resolution imagery is constrained by multiscale vegetation characteristics and limitations in data acquisition.</t>
  </si>
  <si>
    <t>The application of high spatial resolution imagery is limited by its acquisition methods, which results in relatively narrow spatial coverage.</t>
  </si>
  <si>
    <t>The performance of larger encoders may not necessarily surpass that of shallower networks due to factors such as dataset complexity, patch size, and parameter configurations.</t>
  </si>
  <si>
    <t>The models exhibit lower accuracy in Intersection over Union (IoU) boundary detection.</t>
  </si>
  <si>
    <t>Misclassification of mixed pixels and rapeseed field gaps lowers boundary detection accuracy.</t>
  </si>
  <si>
    <t>The grid size of the 10-meter resolution causes the results of the boundary detection to appear jagged along the grid boundary.</t>
  </si>
  <si>
    <t>Adjacent rapeseed fields may not be reliably separated due to gap classification errors.</t>
  </si>
  <si>
    <t>The extraction of spatial distribution information during the initial flowering stage is susceptible to optical image turbidity observed in Sentinel-2 imagery.</t>
  </si>
  <si>
    <t>Cloud cover can obscure ground rapeseed fields, significantly hindering the collection of imagery and the extraction of crucial spatial distribution data.</t>
  </si>
  <si>
    <t>The absence of data due to cloud cover can adversely affect the timing and management of introducing pollinators into fields.</t>
  </si>
  <si>
    <t>Center pivots do not always have similar behavior and may contain different plantations, making classification based on the spectral response of pixels or vegetation indices difficult.</t>
  </si>
  <si>
    <t>A considerable disadvantage of the overlapping windows technique is the longer processing time.</t>
  </si>
  <si>
    <t>Reducing the stride value by half on the x and y axes increased the classification time by four times.</t>
  </si>
  <si>
    <t>Using low stride values for image classification is a long process that takes nearly 9 hours to complete.</t>
  </si>
  <si>
    <t>In the rainy season, the photosynthetically active areas of natural vegetation became very similar to the center pivots that have crop development, leading to classification errors.</t>
  </si>
  <si>
    <t>In the critical dry period, harvesting associated with conservation tillage has a similar reflectance with the dry vegetation, homogenizing the center pivot irrigation system with adjacent areas.</t>
  </si>
  <si>
    <t>Classification errors occur at the edge of the entire classification due to a smaller amount of overlapping pixels.</t>
  </si>
  <si>
    <t>Classification errors occur at the edge of the frames because the geometric shape of the center pivots only appears partially.</t>
  </si>
  <si>
    <t>Classification errors occur along the circumference of the center pivot because there are small divergences in the manual labels and the classified image.</t>
  </si>
  <si>
    <t>Remote sensing images suffer from varying scales of objects, complex and diverse backgrounds, and an imbalance between positive and negative samples.</t>
  </si>
  <si>
    <t>The Pyramid Pooling Module (PPM) and Atrous Spatial Pyramid Pooling (ASPP) might overlook the contextual spatial correlation and integrated information of the global feature map.</t>
  </si>
  <si>
    <t>Existing attention modules could lead to unevenness in the spatial and channel weights along with the background and textural information.</t>
  </si>
  <si>
    <t>Objects near the edge of the input images can miss the entire context and possibly be misclassified.</t>
  </si>
  <si>
    <t>The cross-entropy loss may have a poor effect when the positive and negative samples are not balanced.</t>
  </si>
  <si>
    <t>The sequential calculation of channel attention and space attention could cause an alias of the spatial and channel information.</t>
  </si>
  <si>
    <t>The atrous convolution in ASPP could only combine local features and lacked a full utilization of global scene category clues, resulting in a large position bias.</t>
  </si>
  <si>
    <t>Convolution with a small receptive field and reduction of feature channels may lead to the loss of contextual features at different scales.</t>
  </si>
  <si>
    <t>The uncertainty in the label-making process can lead to omissions, such as an omitted ridge in the field area.</t>
  </si>
  <si>
    <t>The reference data could miss or contain incorrect or imprecise information.</t>
  </si>
  <si>
    <t>Field survey measurements may bring accessibility problems due to vegetation and terrain.</t>
  </si>
  <si>
    <t>Labeling remote sensing images for training is extremely time-consuming and cost-intensive.</t>
  </si>
  <si>
    <t>There is a lack of high-quality benchmark datasets in agriculture scenes, which limits practical agricultural applications.</t>
  </si>
  <si>
    <t>Relying on one particular remote sensing image due to huge labeling costs may cause data insufficiency.</t>
  </si>
  <si>
    <t>The terrain of remote sensing images will limit the accuracy balance of deep learning models when mapping croplands between plain and mountain areas.</t>
  </si>
  <si>
    <t>Agricultural fields may be confused with grasslands or other vegetation, placing a higher demand on the diversity and precision of the training set.</t>
  </si>
  <si>
    <t>Traditional learning methods have limited performance when extracting the same land-cover type with high intra-class spectral variation, such as cultivated land with both vegetation and non-vegetation cover.</t>
  </si>
  <si>
    <t>Traditional learning methods have limited generalization ability for handling large datasets to apply the model to different locations.</t>
  </si>
  <si>
    <t>The pooling process in most deep convolutional networks leads to significant detail loss in the output, including edges, gradients, and image texture details.</t>
  </si>
  <si>
    <t>The intra-class variation of cultivated land increases and the inter-class separability decreases due to varying crop types, irrigation methods, soil types, and fallow land plots.</t>
  </si>
  <si>
    <t>Traditional pixel-based classifiers usually require prior knowledge to model the high intra-class variation of spatial or spectral features.</t>
  </si>
  <si>
    <t>Features learned by traditional methods are often limited to specific datasets, times, and locations.</t>
  </si>
  <si>
    <t>The recovering procedural in learning high-resolution details from low-resolution feature maps is ill-posed because the number of pixels of the output is always bigger than that of the input.</t>
  </si>
  <si>
    <t>Maintaining high-resolution details throughout the network can dramatically increase the time consumed in the training process.</t>
  </si>
  <si>
    <t>More free parameters in the model require more data to train.</t>
  </si>
  <si>
    <t>A pre-trained network strategy cannot work well when a channel difference happens between the pre-trained natural RGB pictures and new remote sensing datasets.</t>
  </si>
  <si>
    <t>Learning and recovering high-resolution information from the lower level feature map is extremely difficult as it requires the recovery of non-existent details.</t>
  </si>
  <si>
    <t>Simply adding the feature map from the skip connection to a low-level feature map could disturb the concise features learned from the low level.</t>
  </si>
  <si>
    <t>Simply copying the feature map from the contracting path and merging it to the expansive path does not always work as details have already been lost before the skip connections.</t>
  </si>
  <si>
    <t>Adding more complex skip connections increased the training time by approximately 2.6 times compared to the original U-Net.</t>
  </si>
  <si>
    <t>At a 30 m scale, the spectral mixing pixel is one of the sources of classification uncertainty.</t>
  </si>
  <si>
    <t>The spectral mixing pixel problem could be more serious when applying the model in more broken farmland, such as the southeast province of China.</t>
  </si>
  <si>
    <t>The labels of training and testing data may contain errors as their accuracy depended on the performance of a human analyst.</t>
  </si>
  <si>
    <t>Interpretation and delineation of cultivated land could be partially subjective.</t>
  </si>
  <si>
    <t>There are problems of misclassification between cultivated land and garden land.</t>
  </si>
  <si>
    <t>The identification accuracy of crops and economic crops is not high.</t>
  </si>
  <si>
    <t>Data obtained by traditional site investigation costs a lot of manpower and time.</t>
  </si>
  <si>
    <t>Most existing remote sensing image interpretation methods cannot accurately identify natural features in images.</t>
  </si>
  <si>
    <t>The recognition accuracy of natural features such as forest land, garden land, and grassland is still low and cannot be finely differentiated.</t>
  </si>
  <si>
    <t>Monitoring cultivated land changes is difficult, especially the detection of changes between cultivated land, gardens, and grasslands.</t>
  </si>
  <si>
    <t>Tree species identification mainly relies on traditional field surveys, which consume a lot of manpower, material resources, and time costs.</t>
  </si>
  <si>
    <t>Natural features in remote sensing images have rich and irregular characteristics, and the distinction between different types of features is not large.</t>
  </si>
  <si>
    <t>The small distinction between features makes it easy to confuse and causes misclassification and omission in actual segmentation tasks.</t>
  </si>
  <si>
    <t>The pooling layer reduces the image resolution, leading to the disadvantage of degrading the performance of the semantic segmentation network during subsequent upsampling.</t>
  </si>
  <si>
    <t>The structural characteristics of dilated convolutions prevent all input pixels from participating in the operation, resulting in the loss of information contained in adjacent pixels.</t>
  </si>
  <si>
    <t>Stacking features in the channel dimension and reducing dimensionality through a 1x1 convolutional layer tends to retain too many features that are not valid for classification.</t>
  </si>
  <si>
    <t>Information redundancy reduces the recognition ability of the model.</t>
  </si>
  <si>
    <t>Crop-type segmentation becomes challenging in smallholder farms due to their irregular field shapes, frequent cloud cover, small plot sizes, and a severe shortage of training data.</t>
  </si>
  <si>
    <t>Traditional techniques for image segmentation employ knowledge-based methods which need a lot of human engineering, computational work, and domain expertise.</t>
  </si>
  <si>
    <t>Sparse labels introduce missing data gaps, while smaller fields provide fewer pixels of information.</t>
  </si>
  <si>
    <t>Rain and cloud cover predominate during the growth season, which reduces optical imagery vision.</t>
  </si>
  <si>
    <t>The performance of the model is low on classes representing intercropping, such as maize and common bean, maize and cassava, maize and soybean, and cassava and common bean.</t>
  </si>
  <si>
    <t>Crop type detection algorithms calibrated for one region cannot be readily extended to another due to the location-specific character of crop phenotypic and phenology information.</t>
  </si>
  <si>
    <t>The variability in canopy-level spectral reflectance among varied settings and management practices limits extending algorithms from one region to another.</t>
  </si>
  <si>
    <t>The geographical transferability of the AI algorithms is a pressing issue if AI is to replace human mapping efforts.</t>
  </si>
  <si>
    <t>At the Duero site, both models showed poor classification accuracy and segmentation quality, evident in the incomplete representation of the center pivot geometries.</t>
  </si>
  <si>
    <t>In South Africa and at the Duero site, a high rate of false positive and false negative classifications made the model less useful.</t>
  </si>
  <si>
    <t>Geographical invariance is not an inherent model property and seems to be mainly driven by the complexity of land-use patterns.</t>
  </si>
  <si>
    <t>The transferability of models trained on geographically limited datasets to the global scale is an ongoing challenge.</t>
  </si>
  <si>
    <t>The visible bands of remotely sensed imagery from sensors like Sentinel-2 MSI are spectrally highly correlated and only provide limited information about vegetation characteristics.</t>
  </si>
  <si>
    <t>The usage of a higher number of spectral bands would significantly increase computational requirements.</t>
  </si>
  <si>
    <t>Principal components tend to show spectral differences in local neighborhoods, which are less indicative of the presence of center pivot systems than differences in cultivation practices.</t>
  </si>
  <si>
    <t>Principal Component Analysis (PCA) might emphasize site-specific characteristics such as differences in soil type and plant physiology, highlighting non-discriminatory differences of secondary importance.</t>
  </si>
  <si>
    <t>The receptive field of U-NET in the study (128 by 128 pixels) may not be large enough to segment larger center pivot systems with sufficient quality.</t>
  </si>
  <si>
    <t>U-NET had problems capturing complex connectivity patterns and producing coherent, accurate segmentation results because the number of convolution layers was too low to capture the inherent complexity.</t>
  </si>
  <si>
    <t>A deeper network architecture increases the training times significantly since more free parameters have to be determined.</t>
  </si>
  <si>
    <t>Convolution networks are shift and conditionally scale invariant, but cannot deal a-priori with geometric distortions and illumination differences.</t>
  </si>
  <si>
    <t>Extending the training dataset to include all areas with center pivot systems globally to compensate for missing invariances would require a great deal of manual mapping effort.</t>
  </si>
  <si>
    <t>Temporal series features like NDVI and NDWI are unusable in cloudy weather conditions.</t>
  </si>
  <si>
    <t>Optical-based classification targets are affected by errors and invalid pixels, which determine a strong limitation in the training phase.</t>
  </si>
  <si>
    <t>There is a scarcity of usable optical data in the vegetation growth phase due to significant cirrus presence and cloud coverage.</t>
  </si>
  <si>
    <t>The model sometimes failed for the bare soil class.</t>
  </si>
  <si>
    <t>Training the U-Net requires 120 seconds per epoch, totaling 12,000 seconds for the entire training.</t>
  </si>
  <si>
    <t>Relying solely on model output from single-task models in mountainous regions with complex, heterogeneous, and fragmented smallholder agriculture remains questionable.</t>
  </si>
  <si>
    <t>Traditional extensive ACP information collection suffers from considerable ambiguity and uncertainty, limiting access to detailed parcel-based information.</t>
  </si>
  <si>
    <t>Field surveys are hampered by steep terrain gradients, localized turbulence, difficult areas to map, investigator bias, and substantial resource requirements.</t>
  </si>
  <si>
    <t>Edge detection methods are susceptible to noise interference, unrecognizability of weak edges, and poor connectivity, especially in fragmented areas.</t>
  </si>
  <si>
    <t>Region segmentation methods are highly dependent on parameter tuning, with suboptimal parameters severely compromising parcel differentiation and causing boundaries to not align with actual physical edges.</t>
  </si>
  <si>
    <t>Hybrid approaches lack sophisticated feature learning capabilities, particularly in image morphological information and contextual semantics.</t>
  </si>
  <si>
    <t>Conventional model-based approaches often prove insufficient for regions characterized by heterogeneous, fragmented smallholder farming systems.</t>
  </si>
  <si>
    <t>Ambiguous boundaries between agricultural cultivation parcels and wooded grasslands complicate the distinction between them.</t>
  </si>
  <si>
    <t>Data-driven deep learning-based methods have limitations in coping with the complex urban landscapes of real-world scenarios.</t>
  </si>
  <si>
    <t>Discrepancies between total and average Intersection over Union (IoU) stem from the coexistence of small, easily overlooked parcels and large, prominent parcels.</t>
  </si>
  <si>
    <t>Building roofs, roads, or woodlands may be misidentified as agricultural parcels.</t>
  </si>
  <si>
    <t>Deep learning algorithms encounter challenges with complex geography and intraclass feature imbalance, impacting the accuracy and interpretability of purely data-driven approaches.</t>
  </si>
  <si>
    <t>Undersegmentation in fragmented landscapes is a common issue that severely limits the usability of parcel products.</t>
  </si>
  <si>
    <t>The coarse agricultural spatial scope provided by historical territorial mapping data lacks the temporal resolution required for contemporary analyses.</t>
  </si>
  <si>
    <t>The implementation of the stratification strategy relies heavily on subjective judgment, introducing human bias and limiting generalizability to other regions.</t>
  </si>
  <si>
    <t>The current analysis utilized only single-date RGB bands, missing out on near-infrared information.</t>
  </si>
</sst>
</file>

<file path=xl/styles.xml><?xml version="1.0" encoding="utf-8"?>
<styleSheet xmlns="http://schemas.openxmlformats.org/spreadsheetml/2006/main">
  <numFmts count="5">
    <numFmt numFmtId="176" formatCode="0.0%"/>
    <numFmt numFmtId="177" formatCode="_-* #,##0.00_-;\-* #,##0.00_-;_-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-&quot;R$&quot;\ * #,##0.00_-;\-&quot;R$&quot;\ * #,##0.00_-;_-&quot;R$&quot;\ * &quot;-&quot;??_-;_-@_-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00FF"/>
      <name val="Calibri"/>
      <charset val="134"/>
      <scheme val="minor"/>
    </font>
    <font>
      <sz val="11"/>
      <color rgb="FF808080"/>
      <name val="Calibri"/>
      <charset val="134"/>
      <scheme val="minor"/>
    </font>
    <font>
      <sz val="11"/>
      <color rgb="FF008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9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7" fillId="9" borderId="5" applyNumberFormat="0" applyAlignment="0" applyProtection="0">
      <alignment vertical="center"/>
    </xf>
    <xf numFmtId="180" fontId="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8" fillId="11" borderId="6" applyNumberFormat="0" applyFont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1" fillId="2" borderId="1" xfId="0" applyFont="1" applyFill="1" applyBorder="1" applyAlignment="1">
      <alignment horizontal="left"/>
    </xf>
    <xf numFmtId="0" fontId="5" fillId="3" borderId="1" xfId="0" applyFont="1" applyFill="1" applyBorder="1"/>
    <xf numFmtId="0" fontId="3" fillId="0" borderId="1" xfId="0" applyFont="1" applyBorder="1"/>
    <xf numFmtId="1" fontId="6" fillId="0" borderId="1" xfId="0" applyNumberFormat="1" applyFont="1" applyBorder="1"/>
    <xf numFmtId="0" fontId="1" fillId="2" borderId="1" xfId="0" applyFont="1" applyFill="1" applyBorder="1"/>
    <xf numFmtId="176" fontId="6" fillId="0" borderId="1" xfId="0" applyNumberFormat="1" applyFont="1" applyBorder="1"/>
    <xf numFmtId="0" fontId="5" fillId="4" borderId="1" xfId="0" applyFont="1" applyFill="1" applyBorder="1"/>
    <xf numFmtId="0" fontId="0" fillId="4" borderId="1" xfId="0" applyFill="1" applyBorder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pane ySplit="2" topLeftCell="A3" activePane="bottomLeft" state="frozen"/>
      <selection/>
      <selection pane="bottomLeft" activeCell="A1" sqref="A1:D1"/>
    </sheetView>
  </sheetViews>
  <sheetFormatPr defaultColWidth="9" defaultRowHeight="15" outlineLevelCol="4"/>
  <cols>
    <col min="1" max="1" width="28" customWidth="1"/>
    <col min="2" max="3" width="18" customWidth="1"/>
    <col min="4" max="4" width="28" customWidth="1"/>
    <col min="5" max="5" width="10" customWidth="1"/>
  </cols>
  <sheetData>
    <row r="1" spans="1:1">
      <c r="A1" s="5" t="s">
        <v>0</v>
      </c>
    </row>
    <row r="3" spans="1:5">
      <c r="A3" s="6" t="s">
        <v>1</v>
      </c>
      <c r="B3" s="6" t="s">
        <v>2</v>
      </c>
      <c r="D3" s="6" t="s">
        <v>3</v>
      </c>
      <c r="E3" s="6" t="s">
        <v>4</v>
      </c>
    </row>
    <row r="4" spans="1:5">
      <c r="A4" s="7" t="s">
        <v>5</v>
      </c>
      <c r="B4" s="8">
        <f>COUNTA(E4:E16)</f>
        <v>13</v>
      </c>
      <c r="E4" s="2">
        <v>9</v>
      </c>
    </row>
    <row r="5" spans="1:5">
      <c r="A5" s="7" t="s">
        <v>6</v>
      </c>
      <c r="B5" s="8">
        <f>COUNTA(Detalhes!A:A)-1</f>
        <v>151</v>
      </c>
      <c r="E5" s="2">
        <v>18</v>
      </c>
    </row>
    <row r="6" spans="1:5">
      <c r="A6" s="7" t="s">
        <v>7</v>
      </c>
      <c r="B6" s="8">
        <f>COUNTA(A10:A14)</f>
        <v>5</v>
      </c>
      <c r="E6" s="2">
        <v>20</v>
      </c>
    </row>
    <row r="7" spans="5:5">
      <c r="E7" s="2">
        <v>27</v>
      </c>
    </row>
    <row r="8" spans="1:5">
      <c r="A8" s="9" t="s">
        <v>8</v>
      </c>
      <c r="E8" s="2">
        <v>28</v>
      </c>
    </row>
    <row r="9" spans="1:5">
      <c r="A9" s="6" t="s">
        <v>9</v>
      </c>
      <c r="B9" s="6" t="s">
        <v>10</v>
      </c>
      <c r="C9" s="6" t="s">
        <v>11</v>
      </c>
      <c r="D9" s="6" t="s">
        <v>12</v>
      </c>
      <c r="E9" s="2">
        <v>29</v>
      </c>
    </row>
    <row r="10" spans="1:5">
      <c r="A10" s="4" t="s">
        <v>13</v>
      </c>
      <c r="B10" s="8">
        <f>COUNTIF(Detalhes!$C:$C,A10)</f>
        <v>63</v>
      </c>
      <c r="C10" s="10">
        <f>B10/$B$5</f>
        <v>0.417218543046358</v>
      </c>
      <c r="D10" s="10" t="e">
        <f>SUMPRODUCT((FREQUENCY(IF(Detalhes!$C$2:$C$1000=A10,MATCH(Detalhes!$A$2:$A$1000,Detalhes!$A$2:$A$1000,0)),ROW(Detalhes!$A$2:$A$1000)-ROW(Detalhes!$A$2)+1)&gt;0)*1)/$B$4</f>
        <v>#VALUE!</v>
      </c>
      <c r="E10" s="2">
        <v>30</v>
      </c>
    </row>
    <row r="11" spans="1:5">
      <c r="A11" s="4" t="s">
        <v>14</v>
      </c>
      <c r="B11" s="8">
        <f>COUNTIF(Detalhes!$C:$C,A11)</f>
        <v>52</v>
      </c>
      <c r="C11" s="10">
        <f>B11/$B$5</f>
        <v>0.344370860927152</v>
      </c>
      <c r="D11" s="10">
        <f>SUMPRODUCT((FREQUENCY(IF(Detalhes!$C$2:$C$1000=A11,MATCH(Detalhes!$A$2:$A$1000,Detalhes!$A$2:$A$1000,0)),ROW(Detalhes!$A$2:$A$1000)-ROW(Detalhes!$A$2)+1)&gt;0)*1)/$B$4</f>
        <v>0.0769230769230769</v>
      </c>
      <c r="E11" s="2">
        <v>31</v>
      </c>
    </row>
    <row r="12" spans="1:5">
      <c r="A12" s="4" t="s">
        <v>15</v>
      </c>
      <c r="B12" s="8">
        <f>COUNTIF(Detalhes!$C:$C,A12)</f>
        <v>17</v>
      </c>
      <c r="C12" s="10">
        <f>B12/$B$5</f>
        <v>0.112582781456954</v>
      </c>
      <c r="D12" s="10" t="e">
        <f>SUMPRODUCT((FREQUENCY(IF(Detalhes!$C$2:$C$1000=A12,MATCH(Detalhes!$A$2:$A$1000,Detalhes!$A$2:$A$1000,0)),ROW(Detalhes!$A$2:$A$1000)-ROW(Detalhes!$A$2)+1)&gt;0)*1)/$B$4</f>
        <v>#VALUE!</v>
      </c>
      <c r="E12" s="2">
        <v>32</v>
      </c>
    </row>
    <row r="13" spans="1:5">
      <c r="A13" s="4" t="s">
        <v>16</v>
      </c>
      <c r="B13" s="8">
        <f>COUNTIF(Detalhes!$C:$C,A13)</f>
        <v>16</v>
      </c>
      <c r="C13" s="10">
        <f>B13/$B$5</f>
        <v>0.105960264900662</v>
      </c>
      <c r="D13" s="10" t="e">
        <f>SUMPRODUCT((FREQUENCY(IF(Detalhes!$C$2:$C$1000=A13,MATCH(Detalhes!$A$2:$A$1000,Detalhes!$A$2:$A$1000,0)),ROW(Detalhes!$A$2:$A$1000)-ROW(Detalhes!$A$2)+1)&gt;0)*1)/$B$4</f>
        <v>#VALUE!</v>
      </c>
      <c r="E13" s="2">
        <v>33</v>
      </c>
    </row>
    <row r="14" spans="1:5">
      <c r="A14" s="4" t="s">
        <v>17</v>
      </c>
      <c r="B14" s="8">
        <f>COUNTIF(Detalhes!$C:$C,A14)</f>
        <v>3</v>
      </c>
      <c r="C14" s="10">
        <f>B14/$B$5</f>
        <v>0.0198675496688742</v>
      </c>
      <c r="D14" s="10" t="e">
        <f>SUMPRODUCT((FREQUENCY(IF(Detalhes!$C$2:$C$1000=A14,MATCH(Detalhes!$A$2:$A$1000,Detalhes!$A$2:$A$1000,0)),ROW(Detalhes!$A$2:$A$1000)-ROW(Detalhes!$A$2)+1)&gt;0)*1)/$B$4</f>
        <v>#VALUE!</v>
      </c>
      <c r="E14" s="2">
        <v>34</v>
      </c>
    </row>
    <row r="15" spans="5:5">
      <c r="E15" s="2">
        <v>35</v>
      </c>
    </row>
    <row r="16" ht="45" customHeight="1" spans="1:5">
      <c r="A16" s="11" t="s">
        <v>18</v>
      </c>
      <c r="B16" s="12" t="s">
        <v>19</v>
      </c>
      <c r="E16" s="2">
        <v>36</v>
      </c>
    </row>
    <row r="18" spans="1:1">
      <c r="A18" s="9" t="s">
        <v>20</v>
      </c>
    </row>
    <row r="19" spans="1:3">
      <c r="A19" s="6" t="s">
        <v>21</v>
      </c>
      <c r="B19" s="6" t="s">
        <v>6</v>
      </c>
      <c r="C19" s="6" t="s">
        <v>22</v>
      </c>
    </row>
    <row r="20" spans="1:3">
      <c r="A20" s="2">
        <v>9</v>
      </c>
      <c r="B20" s="8">
        <f>COUNTIF(Detalhes!$A:$A,A20)</f>
        <v>7</v>
      </c>
      <c r="C20" s="8">
        <f>SUMPRODUCT(--(COUNTIFS(Detalhes!$A:$A,A20,Detalhes!$C:$C,$A$10:$A$14)&gt;0))</f>
        <v>5</v>
      </c>
    </row>
    <row r="21" spans="1:3">
      <c r="A21" s="2">
        <v>18</v>
      </c>
      <c r="B21" s="8">
        <f>COUNTIF(Detalhes!$A:$A,A21)</f>
        <v>5</v>
      </c>
      <c r="C21" s="8">
        <f>SUMPRODUCT(--(COUNTIFS(Detalhes!$A:$A,A21,Detalhes!$C:$C,$A$10:$A$14)&gt;0))</f>
        <v>3</v>
      </c>
    </row>
    <row r="22" spans="1:3">
      <c r="A22" s="2">
        <v>20</v>
      </c>
      <c r="B22" s="8">
        <f>COUNTIF(Detalhes!$A:$A,A22)</f>
        <v>14</v>
      </c>
      <c r="C22" s="8">
        <f>SUMPRODUCT(--(COUNTIFS(Detalhes!$A:$A,A22,Detalhes!$C:$C,$A$10:$A$14)&gt;0))</f>
        <v>2</v>
      </c>
    </row>
    <row r="23" spans="1:3">
      <c r="A23" s="2">
        <v>27</v>
      </c>
      <c r="B23" s="8">
        <f>COUNTIF(Detalhes!$A:$A,A23)</f>
        <v>9</v>
      </c>
      <c r="C23" s="8">
        <f>SUMPRODUCT(--(COUNTIFS(Detalhes!$A:$A,A23,Detalhes!$C:$C,$A$10:$A$14)&gt;0))</f>
        <v>1</v>
      </c>
    </row>
    <row r="24" spans="1:3">
      <c r="A24" s="2">
        <v>28</v>
      </c>
      <c r="B24" s="8">
        <f>COUNTIF(Detalhes!$A:$A,A24)</f>
        <v>18</v>
      </c>
      <c r="C24" s="8">
        <f>SUMPRODUCT(--(COUNTIFS(Detalhes!$A:$A,A24,Detalhes!$C:$C,$A$10:$A$14)&gt;0))</f>
        <v>2</v>
      </c>
    </row>
    <row r="25" spans="1:3">
      <c r="A25" s="2">
        <v>29</v>
      </c>
      <c r="B25" s="8">
        <f>COUNTIF(Detalhes!$A:$A,A25)</f>
        <v>9</v>
      </c>
      <c r="C25" s="8">
        <f>SUMPRODUCT(--(COUNTIFS(Detalhes!$A:$A,A25,Detalhes!$C:$C,$A$10:$A$14)&gt;0))</f>
        <v>3</v>
      </c>
    </row>
    <row r="26" spans="1:3">
      <c r="A26" s="2">
        <v>30</v>
      </c>
      <c r="B26" s="8">
        <f>COUNTIF(Detalhes!$A:$A,A26)</f>
        <v>16</v>
      </c>
      <c r="C26" s="8">
        <f>SUMPRODUCT(--(COUNTIFS(Detalhes!$A:$A,A26,Detalhes!$C:$C,$A$10:$A$14)&gt;0))</f>
        <v>4</v>
      </c>
    </row>
    <row r="27" spans="1:3">
      <c r="A27" s="2">
        <v>31</v>
      </c>
      <c r="B27" s="8">
        <f>COUNTIF(Detalhes!$A:$A,A27)</f>
        <v>18</v>
      </c>
      <c r="C27" s="8">
        <f>SUMPRODUCT(--(COUNTIFS(Detalhes!$A:$A,A27,Detalhes!$C:$C,$A$10:$A$14)&gt;0))</f>
        <v>4</v>
      </c>
    </row>
    <row r="28" spans="1:3">
      <c r="A28" s="2">
        <v>32</v>
      </c>
      <c r="B28" s="8">
        <f>COUNTIF(Detalhes!$A:$A,A28)</f>
        <v>13</v>
      </c>
      <c r="C28" s="8">
        <f>SUMPRODUCT(--(COUNTIFS(Detalhes!$A:$A,A28,Detalhes!$C:$C,$A$10:$A$14)&gt;0))</f>
        <v>3</v>
      </c>
    </row>
    <row r="29" spans="1:3">
      <c r="A29" s="2">
        <v>33</v>
      </c>
      <c r="B29" s="8">
        <f>COUNTIF(Detalhes!$A:$A,A29)</f>
        <v>7</v>
      </c>
      <c r="C29" s="8">
        <f>SUMPRODUCT(--(COUNTIFS(Detalhes!$A:$A,A29,Detalhes!$C:$C,$A$10:$A$14)&gt;0))</f>
        <v>4</v>
      </c>
    </row>
    <row r="30" spans="1:3">
      <c r="A30" s="2">
        <v>34</v>
      </c>
      <c r="B30" s="8">
        <f>COUNTIF(Detalhes!$A:$A,A30)</f>
        <v>14</v>
      </c>
      <c r="C30" s="8">
        <f>SUMPRODUCT(--(COUNTIFS(Detalhes!$A:$A,A30,Detalhes!$C:$C,$A$10:$A$14)&gt;0))</f>
        <v>5</v>
      </c>
    </row>
    <row r="31" spans="1:3">
      <c r="A31" s="2">
        <v>35</v>
      </c>
      <c r="B31" s="8">
        <f>COUNTIF(Detalhes!$A:$A,A31)</f>
        <v>5</v>
      </c>
      <c r="C31" s="8">
        <f>SUMPRODUCT(--(COUNTIFS(Detalhes!$A:$A,A31,Detalhes!$C:$C,$A$10:$A$14)&gt;0))</f>
        <v>3</v>
      </c>
    </row>
    <row r="32" spans="1:3">
      <c r="A32" s="2">
        <v>36</v>
      </c>
      <c r="B32" s="8">
        <f>COUNTIF(Detalhes!$A:$A,A32)</f>
        <v>16</v>
      </c>
      <c r="C32" s="8">
        <f>SUMPRODUCT(--(COUNTIFS(Detalhes!$A:$A,A32,Detalhes!$C:$C,$A$10:$A$14)&gt;0))</f>
        <v>4</v>
      </c>
    </row>
  </sheetData>
  <mergeCells count="4">
    <mergeCell ref="A1:D1"/>
    <mergeCell ref="A8:D8"/>
    <mergeCell ref="B16:D16"/>
    <mergeCell ref="A18:C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2"/>
  <cols>
    <col min="1" max="1" width="10" customWidth="1"/>
    <col min="2" max="2" width="120" customWidth="1"/>
    <col min="3" max="3" width="18" customWidth="1"/>
  </cols>
  <sheetData>
    <row r="1" spans="1:3">
      <c r="A1" s="1" t="s">
        <v>21</v>
      </c>
      <c r="B1" s="1" t="s">
        <v>23</v>
      </c>
      <c r="C1" s="1" t="s">
        <v>24</v>
      </c>
    </row>
    <row r="2" ht="36" customHeight="1" spans="1:3">
      <c r="A2" s="2">
        <v>9</v>
      </c>
      <c r="B2" s="3" t="s">
        <v>25</v>
      </c>
      <c r="C2" s="4" t="s">
        <v>16</v>
      </c>
    </row>
    <row r="3" ht="36" customHeight="1" spans="1:3">
      <c r="A3" s="2">
        <v>9</v>
      </c>
      <c r="B3" s="3" t="s">
        <v>26</v>
      </c>
      <c r="C3" s="4" t="s">
        <v>13</v>
      </c>
    </row>
    <row r="4" ht="36" customHeight="1" spans="1:3">
      <c r="A4" s="2">
        <v>9</v>
      </c>
      <c r="B4" s="3" t="s">
        <v>27</v>
      </c>
      <c r="C4" s="4" t="s">
        <v>14</v>
      </c>
    </row>
    <row r="5" ht="36" customHeight="1" spans="1:3">
      <c r="A5" s="2">
        <v>9</v>
      </c>
      <c r="B5" s="3" t="s">
        <v>28</v>
      </c>
      <c r="C5" s="4" t="s">
        <v>15</v>
      </c>
    </row>
    <row r="6" ht="36" customHeight="1" spans="1:3">
      <c r="A6" s="2">
        <v>9</v>
      </c>
      <c r="B6" s="3" t="s">
        <v>29</v>
      </c>
      <c r="C6" s="4" t="s">
        <v>15</v>
      </c>
    </row>
    <row r="7" ht="36" customHeight="1" spans="1:3">
      <c r="A7" s="2">
        <v>9</v>
      </c>
      <c r="B7" s="3" t="s">
        <v>30</v>
      </c>
      <c r="C7" s="4" t="s">
        <v>17</v>
      </c>
    </row>
    <row r="8" ht="36" customHeight="1" spans="1:3">
      <c r="A8" s="2">
        <v>9</v>
      </c>
      <c r="B8" s="3" t="s">
        <v>31</v>
      </c>
      <c r="C8" s="4" t="s">
        <v>14</v>
      </c>
    </row>
    <row r="9" ht="36" customHeight="1" spans="1:3">
      <c r="A9" s="2">
        <v>18</v>
      </c>
      <c r="B9" s="3" t="s">
        <v>32</v>
      </c>
      <c r="C9" s="4" t="s">
        <v>13</v>
      </c>
    </row>
    <row r="10" ht="36" customHeight="1" spans="1:3">
      <c r="A10" s="2">
        <v>18</v>
      </c>
      <c r="B10" s="3" t="s">
        <v>33</v>
      </c>
      <c r="C10" s="4" t="s">
        <v>15</v>
      </c>
    </row>
    <row r="11" ht="36" customHeight="1" spans="1:3">
      <c r="A11" s="2">
        <v>18</v>
      </c>
      <c r="B11" s="3" t="s">
        <v>34</v>
      </c>
      <c r="C11" s="4" t="s">
        <v>14</v>
      </c>
    </row>
    <row r="12" ht="36" customHeight="1" spans="1:3">
      <c r="A12" s="2">
        <v>18</v>
      </c>
      <c r="B12" s="3" t="s">
        <v>35</v>
      </c>
      <c r="C12" s="4" t="s">
        <v>14</v>
      </c>
    </row>
    <row r="13" ht="36" customHeight="1" spans="1:3">
      <c r="A13" s="2">
        <v>18</v>
      </c>
      <c r="B13" s="3" t="s">
        <v>36</v>
      </c>
      <c r="C13" s="4" t="s">
        <v>15</v>
      </c>
    </row>
    <row r="14" ht="36" customHeight="1" spans="1:3">
      <c r="A14" s="2">
        <v>20</v>
      </c>
      <c r="B14" s="3" t="s">
        <v>37</v>
      </c>
      <c r="C14" s="4" t="s">
        <v>13</v>
      </c>
    </row>
    <row r="15" ht="36" customHeight="1" spans="1:3">
      <c r="A15" s="2">
        <v>20</v>
      </c>
      <c r="B15" s="3" t="s">
        <v>38</v>
      </c>
      <c r="C15" s="4" t="s">
        <v>14</v>
      </c>
    </row>
    <row r="16" ht="36" customHeight="1" spans="1:3">
      <c r="A16" s="2">
        <v>20</v>
      </c>
      <c r="B16" s="3" t="s">
        <v>39</v>
      </c>
      <c r="C16" s="4" t="s">
        <v>14</v>
      </c>
    </row>
    <row r="17" ht="36" customHeight="1" spans="1:3">
      <c r="A17" s="2">
        <v>20</v>
      </c>
      <c r="B17" s="3" t="s">
        <v>40</v>
      </c>
      <c r="C17" s="4" t="s">
        <v>13</v>
      </c>
    </row>
    <row r="18" ht="36" customHeight="1" spans="1:3">
      <c r="A18" s="2">
        <v>20</v>
      </c>
      <c r="B18" s="3" t="s">
        <v>41</v>
      </c>
      <c r="C18" s="4" t="s">
        <v>13</v>
      </c>
    </row>
    <row r="19" ht="36" customHeight="1" spans="1:3">
      <c r="A19" s="2">
        <v>20</v>
      </c>
      <c r="B19" s="3" t="s">
        <v>42</v>
      </c>
      <c r="C19" s="4" t="s">
        <v>13</v>
      </c>
    </row>
    <row r="20" ht="36" customHeight="1" spans="1:3">
      <c r="A20" s="2">
        <v>20</v>
      </c>
      <c r="B20" s="3" t="s">
        <v>43</v>
      </c>
      <c r="C20" s="4" t="s">
        <v>13</v>
      </c>
    </row>
    <row r="21" ht="36" customHeight="1" spans="1:3">
      <c r="A21" s="2">
        <v>20</v>
      </c>
      <c r="B21" s="3" t="s">
        <v>44</v>
      </c>
      <c r="C21" s="4" t="s">
        <v>13</v>
      </c>
    </row>
    <row r="22" ht="36" customHeight="1" spans="1:3">
      <c r="A22" s="2">
        <v>20</v>
      </c>
      <c r="B22" s="3" t="s">
        <v>45</v>
      </c>
      <c r="C22" s="4" t="s">
        <v>14</v>
      </c>
    </row>
    <row r="23" ht="36" customHeight="1" spans="1:3">
      <c r="A23" s="2">
        <v>20</v>
      </c>
      <c r="B23" s="3" t="s">
        <v>46</v>
      </c>
      <c r="C23" s="4" t="s">
        <v>13</v>
      </c>
    </row>
    <row r="24" ht="36" customHeight="1" spans="1:3">
      <c r="A24" s="2">
        <v>20</v>
      </c>
      <c r="B24" s="3" t="s">
        <v>47</v>
      </c>
      <c r="C24" s="4" t="s">
        <v>13</v>
      </c>
    </row>
    <row r="25" ht="36" customHeight="1" spans="1:3">
      <c r="A25" s="2">
        <v>20</v>
      </c>
      <c r="B25" s="3" t="s">
        <v>48</v>
      </c>
      <c r="C25" s="4" t="s">
        <v>14</v>
      </c>
    </row>
    <row r="26" ht="36" customHeight="1" spans="1:3">
      <c r="A26" s="2">
        <v>20</v>
      </c>
      <c r="B26" s="3" t="s">
        <v>49</v>
      </c>
      <c r="C26" s="4" t="s">
        <v>14</v>
      </c>
    </row>
    <row r="27" ht="36" customHeight="1" spans="1:3">
      <c r="A27" s="2">
        <v>20</v>
      </c>
      <c r="B27" s="3" t="s">
        <v>50</v>
      </c>
      <c r="C27" s="4" t="s">
        <v>14</v>
      </c>
    </row>
    <row r="28" ht="36" customHeight="1" spans="1:3">
      <c r="A28" s="2">
        <v>27</v>
      </c>
      <c r="B28" s="3" t="s">
        <v>51</v>
      </c>
      <c r="C28" s="4" t="s">
        <v>13</v>
      </c>
    </row>
    <row r="29" ht="36" customHeight="1" spans="1:3">
      <c r="A29" s="2">
        <v>27</v>
      </c>
      <c r="B29" s="3" t="s">
        <v>52</v>
      </c>
      <c r="C29" s="4" t="s">
        <v>13</v>
      </c>
    </row>
    <row r="30" ht="36" customHeight="1" spans="1:3">
      <c r="A30" s="2">
        <v>27</v>
      </c>
      <c r="B30" s="3" t="s">
        <v>53</v>
      </c>
      <c r="C30" s="4" t="s">
        <v>13</v>
      </c>
    </row>
    <row r="31" ht="36" customHeight="1" spans="1:3">
      <c r="A31" s="2">
        <v>27</v>
      </c>
      <c r="B31" s="3" t="s">
        <v>54</v>
      </c>
      <c r="C31" s="4" t="s">
        <v>13</v>
      </c>
    </row>
    <row r="32" ht="36" customHeight="1" spans="1:3">
      <c r="A32" s="2">
        <v>27</v>
      </c>
      <c r="B32" s="3" t="s">
        <v>55</v>
      </c>
      <c r="C32" s="4" t="s">
        <v>13</v>
      </c>
    </row>
    <row r="33" ht="36" customHeight="1" spans="1:3">
      <c r="A33" s="2">
        <v>27</v>
      </c>
      <c r="B33" s="3" t="s">
        <v>56</v>
      </c>
      <c r="C33" s="4" t="s">
        <v>13</v>
      </c>
    </row>
    <row r="34" ht="36" customHeight="1" spans="1:3">
      <c r="A34" s="2">
        <v>27</v>
      </c>
      <c r="B34" s="3" t="s">
        <v>57</v>
      </c>
      <c r="C34" s="4" t="s">
        <v>13</v>
      </c>
    </row>
    <row r="35" ht="36" customHeight="1" spans="1:3">
      <c r="A35" s="2">
        <v>27</v>
      </c>
      <c r="B35" s="3" t="s">
        <v>58</v>
      </c>
      <c r="C35" s="4" t="s">
        <v>13</v>
      </c>
    </row>
    <row r="36" ht="36" customHeight="1" spans="1:3">
      <c r="A36" s="2">
        <v>27</v>
      </c>
      <c r="B36" s="3" t="s">
        <v>59</v>
      </c>
      <c r="C36" s="4" t="s">
        <v>13</v>
      </c>
    </row>
    <row r="37" ht="36" customHeight="1" spans="1:3">
      <c r="A37" s="2">
        <v>28</v>
      </c>
      <c r="B37" s="3" t="s">
        <v>60</v>
      </c>
      <c r="C37" s="4" t="s">
        <v>13</v>
      </c>
    </row>
    <row r="38" ht="36" customHeight="1" spans="1:3">
      <c r="A38" s="2">
        <v>28</v>
      </c>
      <c r="B38" s="3" t="s">
        <v>61</v>
      </c>
      <c r="C38" s="4" t="s">
        <v>13</v>
      </c>
    </row>
    <row r="39" ht="36" customHeight="1" spans="1:3">
      <c r="A39" s="2">
        <v>28</v>
      </c>
      <c r="B39" s="3" t="s">
        <v>62</v>
      </c>
      <c r="C39" s="4" t="s">
        <v>13</v>
      </c>
    </row>
    <row r="40" ht="36" customHeight="1" spans="1:3">
      <c r="A40" s="2">
        <v>28</v>
      </c>
      <c r="B40" s="3" t="s">
        <v>63</v>
      </c>
      <c r="C40" s="4" t="s">
        <v>13</v>
      </c>
    </row>
    <row r="41" ht="36" customHeight="1" spans="1:3">
      <c r="A41" s="2">
        <v>28</v>
      </c>
      <c r="B41" s="3" t="s">
        <v>64</v>
      </c>
      <c r="C41" s="4" t="s">
        <v>13</v>
      </c>
    </row>
    <row r="42" ht="36" customHeight="1" spans="1:3">
      <c r="A42" s="2">
        <v>28</v>
      </c>
      <c r="B42" s="3" t="s">
        <v>65</v>
      </c>
      <c r="C42" s="4" t="s">
        <v>13</v>
      </c>
    </row>
    <row r="43" ht="36" customHeight="1" spans="1:3">
      <c r="A43" s="2">
        <v>28</v>
      </c>
      <c r="B43" s="3" t="s">
        <v>66</v>
      </c>
      <c r="C43" s="4" t="s">
        <v>13</v>
      </c>
    </row>
    <row r="44" ht="36" customHeight="1" spans="1:3">
      <c r="A44" s="2">
        <v>28</v>
      </c>
      <c r="B44" s="3" t="s">
        <v>67</v>
      </c>
      <c r="C44" s="4" t="s">
        <v>14</v>
      </c>
    </row>
    <row r="45" ht="36" customHeight="1" spans="1:3">
      <c r="A45" s="2">
        <v>28</v>
      </c>
      <c r="B45" s="3" t="s">
        <v>68</v>
      </c>
      <c r="C45" s="4" t="s">
        <v>13</v>
      </c>
    </row>
    <row r="46" ht="36" customHeight="1" spans="1:3">
      <c r="A46" s="2">
        <v>28</v>
      </c>
      <c r="B46" s="3" t="s">
        <v>69</v>
      </c>
      <c r="C46" s="4" t="s">
        <v>13</v>
      </c>
    </row>
    <row r="47" ht="36" customHeight="1" spans="1:3">
      <c r="A47" s="2">
        <v>28</v>
      </c>
      <c r="B47" s="3" t="s">
        <v>70</v>
      </c>
      <c r="C47" s="4" t="s">
        <v>14</v>
      </c>
    </row>
    <row r="48" ht="36" customHeight="1" spans="1:3">
      <c r="A48" s="2">
        <v>28</v>
      </c>
      <c r="B48" s="3" t="s">
        <v>71</v>
      </c>
      <c r="C48" s="4" t="s">
        <v>14</v>
      </c>
    </row>
    <row r="49" ht="36" customHeight="1" spans="1:3">
      <c r="A49" s="2">
        <v>28</v>
      </c>
      <c r="B49" s="3" t="s">
        <v>72</v>
      </c>
      <c r="C49" s="4" t="s">
        <v>13</v>
      </c>
    </row>
    <row r="50" ht="36" customHeight="1" spans="1:3">
      <c r="A50" s="2">
        <v>28</v>
      </c>
      <c r="B50" s="3" t="s">
        <v>73</v>
      </c>
      <c r="C50" s="4" t="s">
        <v>13</v>
      </c>
    </row>
    <row r="51" ht="36" customHeight="1" spans="1:3">
      <c r="A51" s="2">
        <v>28</v>
      </c>
      <c r="B51" s="3" t="s">
        <v>74</v>
      </c>
      <c r="C51" s="4" t="s">
        <v>14</v>
      </c>
    </row>
    <row r="52" ht="36" customHeight="1" spans="1:3">
      <c r="A52" s="2">
        <v>28</v>
      </c>
      <c r="B52" s="3" t="s">
        <v>75</v>
      </c>
      <c r="C52" s="4" t="s">
        <v>13</v>
      </c>
    </row>
    <row r="53" ht="36" customHeight="1" spans="1:3">
      <c r="A53" s="2">
        <v>28</v>
      </c>
      <c r="B53" s="3" t="s">
        <v>76</v>
      </c>
      <c r="C53" s="4" t="s">
        <v>13</v>
      </c>
    </row>
    <row r="54" ht="36" customHeight="1" spans="1:3">
      <c r="A54" s="2">
        <v>28</v>
      </c>
      <c r="B54" s="3" t="s">
        <v>77</v>
      </c>
      <c r="C54" s="4" t="s">
        <v>13</v>
      </c>
    </row>
    <row r="55" ht="36" customHeight="1" spans="1:3">
      <c r="A55" s="2">
        <v>29</v>
      </c>
      <c r="B55" s="3" t="s">
        <v>78</v>
      </c>
      <c r="C55" s="4" t="s">
        <v>13</v>
      </c>
    </row>
    <row r="56" ht="36" customHeight="1" spans="1:3">
      <c r="A56" s="2">
        <v>29</v>
      </c>
      <c r="B56" s="3" t="s">
        <v>79</v>
      </c>
      <c r="C56" s="4" t="s">
        <v>16</v>
      </c>
    </row>
    <row r="57" ht="36" customHeight="1" spans="1:3">
      <c r="A57" s="2">
        <v>29</v>
      </c>
      <c r="B57" s="3" t="s">
        <v>80</v>
      </c>
      <c r="C57" s="4" t="s">
        <v>16</v>
      </c>
    </row>
    <row r="58" ht="36" customHeight="1" spans="1:3">
      <c r="A58" s="2">
        <v>29</v>
      </c>
      <c r="B58" s="3" t="s">
        <v>81</v>
      </c>
      <c r="C58" s="4" t="s">
        <v>16</v>
      </c>
    </row>
    <row r="59" ht="36" customHeight="1" spans="1:3">
      <c r="A59" s="2">
        <v>29</v>
      </c>
      <c r="B59" s="3" t="s">
        <v>82</v>
      </c>
      <c r="C59" s="4" t="s">
        <v>13</v>
      </c>
    </row>
    <row r="60" ht="36" customHeight="1" spans="1:3">
      <c r="A60" s="2">
        <v>29</v>
      </c>
      <c r="B60" s="3" t="s">
        <v>83</v>
      </c>
      <c r="C60" s="4" t="s">
        <v>13</v>
      </c>
    </row>
    <row r="61" ht="36" customHeight="1" spans="1:3">
      <c r="A61" s="2">
        <v>29</v>
      </c>
      <c r="B61" s="3" t="s">
        <v>84</v>
      </c>
      <c r="C61" s="4" t="s">
        <v>14</v>
      </c>
    </row>
    <row r="62" ht="36" customHeight="1" spans="1:3">
      <c r="A62" s="2">
        <v>29</v>
      </c>
      <c r="B62" s="3" t="s">
        <v>85</v>
      </c>
      <c r="C62" s="4" t="s">
        <v>14</v>
      </c>
    </row>
    <row r="63" ht="36" customHeight="1" spans="1:3">
      <c r="A63" s="2">
        <v>29</v>
      </c>
      <c r="B63" s="3" t="s">
        <v>86</v>
      </c>
      <c r="C63" s="4" t="s">
        <v>13</v>
      </c>
    </row>
    <row r="64" ht="36" customHeight="1" spans="1:3">
      <c r="A64" s="2">
        <v>30</v>
      </c>
      <c r="B64" s="3" t="s">
        <v>87</v>
      </c>
      <c r="C64" s="4" t="s">
        <v>13</v>
      </c>
    </row>
    <row r="65" ht="36" customHeight="1" spans="1:3">
      <c r="A65" s="2">
        <v>30</v>
      </c>
      <c r="B65" s="3" t="s">
        <v>88</v>
      </c>
      <c r="C65" s="4" t="s">
        <v>14</v>
      </c>
    </row>
    <row r="66" ht="36" customHeight="1" spans="1:3">
      <c r="A66" s="2">
        <v>30</v>
      </c>
      <c r="B66" s="3" t="s">
        <v>89</v>
      </c>
      <c r="C66" s="4" t="s">
        <v>14</v>
      </c>
    </row>
    <row r="67" ht="36" customHeight="1" spans="1:3">
      <c r="A67" s="2">
        <v>30</v>
      </c>
      <c r="B67" s="3" t="s">
        <v>90</v>
      </c>
      <c r="C67" s="4" t="s">
        <v>14</v>
      </c>
    </row>
    <row r="68" ht="36" customHeight="1" spans="1:3">
      <c r="A68" s="2">
        <v>30</v>
      </c>
      <c r="B68" s="3" t="s">
        <v>91</v>
      </c>
      <c r="C68" s="4" t="s">
        <v>14</v>
      </c>
    </row>
    <row r="69" ht="36" customHeight="1" spans="1:3">
      <c r="A69" s="2">
        <v>30</v>
      </c>
      <c r="B69" s="3" t="s">
        <v>92</v>
      </c>
      <c r="C69" s="4" t="s">
        <v>14</v>
      </c>
    </row>
    <row r="70" ht="36" customHeight="1" spans="1:3">
      <c r="A70" s="2">
        <v>30</v>
      </c>
      <c r="B70" s="3" t="s">
        <v>93</v>
      </c>
      <c r="C70" s="4" t="s">
        <v>14</v>
      </c>
    </row>
    <row r="71" ht="36" customHeight="1" spans="1:3">
      <c r="A71" s="2">
        <v>30</v>
      </c>
      <c r="B71" s="3" t="s">
        <v>94</v>
      </c>
      <c r="C71" s="4" t="s">
        <v>14</v>
      </c>
    </row>
    <row r="72" ht="36" customHeight="1" spans="1:3">
      <c r="A72" s="2">
        <v>30</v>
      </c>
      <c r="B72" s="3" t="s">
        <v>95</v>
      </c>
      <c r="C72" s="4" t="s">
        <v>13</v>
      </c>
    </row>
    <row r="73" ht="36" customHeight="1" spans="1:3">
      <c r="A73" s="2">
        <v>30</v>
      </c>
      <c r="B73" s="3" t="s">
        <v>96</v>
      </c>
      <c r="C73" s="4" t="s">
        <v>13</v>
      </c>
    </row>
    <row r="74" ht="36" customHeight="1" spans="1:3">
      <c r="A74" s="2">
        <v>30</v>
      </c>
      <c r="B74" s="3" t="s">
        <v>97</v>
      </c>
      <c r="C74" s="4" t="s">
        <v>16</v>
      </c>
    </row>
    <row r="75" ht="36" customHeight="1" spans="1:3">
      <c r="A75" s="2">
        <v>30</v>
      </c>
      <c r="B75" s="3" t="s">
        <v>98</v>
      </c>
      <c r="C75" s="4" t="s">
        <v>16</v>
      </c>
    </row>
    <row r="76" ht="36" customHeight="1" spans="1:3">
      <c r="A76" s="2">
        <v>30</v>
      </c>
      <c r="B76" s="3" t="s">
        <v>99</v>
      </c>
      <c r="C76" s="4" t="s">
        <v>13</v>
      </c>
    </row>
    <row r="77" ht="36" customHeight="1" spans="1:3">
      <c r="A77" s="2">
        <v>30</v>
      </c>
      <c r="B77" s="3" t="s">
        <v>100</v>
      </c>
      <c r="C77" s="4" t="s">
        <v>13</v>
      </c>
    </row>
    <row r="78" ht="36" customHeight="1" spans="1:3">
      <c r="A78" s="2">
        <v>30</v>
      </c>
      <c r="B78" s="3" t="s">
        <v>101</v>
      </c>
      <c r="C78" s="4" t="s">
        <v>15</v>
      </c>
    </row>
    <row r="79" ht="36" customHeight="1" spans="1:3">
      <c r="A79" s="2">
        <v>30</v>
      </c>
      <c r="B79" s="3" t="s">
        <v>102</v>
      </c>
      <c r="C79" s="4" t="s">
        <v>13</v>
      </c>
    </row>
    <row r="80" ht="36" customHeight="1" spans="1:3">
      <c r="A80" s="2">
        <v>31</v>
      </c>
      <c r="B80" s="3" t="s">
        <v>103</v>
      </c>
      <c r="C80" s="4" t="s">
        <v>14</v>
      </c>
    </row>
    <row r="81" ht="36" customHeight="1" spans="1:3">
      <c r="A81" s="2">
        <v>31</v>
      </c>
      <c r="B81" s="3" t="s">
        <v>104</v>
      </c>
      <c r="C81" s="4" t="s">
        <v>15</v>
      </c>
    </row>
    <row r="82" ht="36" customHeight="1" spans="1:3">
      <c r="A82" s="2">
        <v>31</v>
      </c>
      <c r="B82" s="3" t="s">
        <v>105</v>
      </c>
      <c r="C82" s="4" t="s">
        <v>14</v>
      </c>
    </row>
    <row r="83" ht="36" customHeight="1" spans="1:3">
      <c r="A83" s="2">
        <v>31</v>
      </c>
      <c r="B83" s="3" t="s">
        <v>106</v>
      </c>
      <c r="C83" s="4" t="s">
        <v>13</v>
      </c>
    </row>
    <row r="84" ht="36" customHeight="1" spans="1:3">
      <c r="A84" s="2">
        <v>31</v>
      </c>
      <c r="B84" s="3" t="s">
        <v>107</v>
      </c>
      <c r="C84" s="4" t="s">
        <v>14</v>
      </c>
    </row>
    <row r="85" ht="36" customHeight="1" spans="1:3">
      <c r="A85" s="2">
        <v>31</v>
      </c>
      <c r="B85" s="3" t="s">
        <v>108</v>
      </c>
      <c r="C85" s="4" t="s">
        <v>15</v>
      </c>
    </row>
    <row r="86" ht="36" customHeight="1" spans="1:3">
      <c r="A86" s="2">
        <v>31</v>
      </c>
      <c r="B86" s="3" t="s">
        <v>109</v>
      </c>
      <c r="C86" s="4" t="s">
        <v>14</v>
      </c>
    </row>
    <row r="87" ht="36" customHeight="1" spans="1:3">
      <c r="A87" s="2">
        <v>31</v>
      </c>
      <c r="B87" s="3" t="s">
        <v>110</v>
      </c>
      <c r="C87" s="4" t="s">
        <v>16</v>
      </c>
    </row>
    <row r="88" ht="36" customHeight="1" spans="1:3">
      <c r="A88" s="2">
        <v>31</v>
      </c>
      <c r="B88" s="3" t="s">
        <v>111</v>
      </c>
      <c r="C88" s="4" t="s">
        <v>13</v>
      </c>
    </row>
    <row r="89" ht="36" customHeight="1" spans="1:3">
      <c r="A89" s="2">
        <v>31</v>
      </c>
      <c r="B89" s="3" t="s">
        <v>112</v>
      </c>
      <c r="C89" s="4" t="s">
        <v>14</v>
      </c>
    </row>
    <row r="90" ht="36" customHeight="1" spans="1:3">
      <c r="A90" s="2">
        <v>31</v>
      </c>
      <c r="B90" s="3" t="s">
        <v>113</v>
      </c>
      <c r="C90" s="4" t="s">
        <v>14</v>
      </c>
    </row>
    <row r="91" ht="36" customHeight="1" spans="1:3">
      <c r="A91" s="2">
        <v>31</v>
      </c>
      <c r="B91" s="3" t="s">
        <v>114</v>
      </c>
      <c r="C91" s="4" t="s">
        <v>14</v>
      </c>
    </row>
    <row r="92" ht="36" customHeight="1" spans="1:3">
      <c r="A92" s="2">
        <v>31</v>
      </c>
      <c r="B92" s="3" t="s">
        <v>115</v>
      </c>
      <c r="C92" s="4" t="s">
        <v>14</v>
      </c>
    </row>
    <row r="93" ht="36" customHeight="1" spans="1:3">
      <c r="A93" s="2">
        <v>31</v>
      </c>
      <c r="B93" s="3" t="s">
        <v>116</v>
      </c>
      <c r="C93" s="4" t="s">
        <v>16</v>
      </c>
    </row>
    <row r="94" ht="36" customHeight="1" spans="1:3">
      <c r="A94" s="2">
        <v>31</v>
      </c>
      <c r="B94" s="3" t="s">
        <v>117</v>
      </c>
      <c r="C94" s="4" t="s">
        <v>13</v>
      </c>
    </row>
    <row r="95" ht="36" customHeight="1" spans="1:3">
      <c r="A95" s="2">
        <v>31</v>
      </c>
      <c r="B95" s="3" t="s">
        <v>118</v>
      </c>
      <c r="C95" s="4" t="s">
        <v>15</v>
      </c>
    </row>
    <row r="96" ht="36" customHeight="1" spans="1:3">
      <c r="A96" s="2">
        <v>31</v>
      </c>
      <c r="B96" s="3" t="s">
        <v>119</v>
      </c>
      <c r="C96" s="4" t="s">
        <v>13</v>
      </c>
    </row>
    <row r="97" ht="36" customHeight="1" spans="1:3">
      <c r="A97" s="2">
        <v>31</v>
      </c>
      <c r="B97" s="3" t="s">
        <v>120</v>
      </c>
      <c r="C97" s="4" t="s">
        <v>13</v>
      </c>
    </row>
    <row r="98" ht="36" customHeight="1" spans="1:3">
      <c r="A98" s="2">
        <v>32</v>
      </c>
      <c r="B98" s="3" t="s">
        <v>121</v>
      </c>
      <c r="C98" s="4" t="s">
        <v>13</v>
      </c>
    </row>
    <row r="99" ht="36" customHeight="1" spans="1:3">
      <c r="A99" s="2">
        <v>32</v>
      </c>
      <c r="B99" s="3" t="s">
        <v>122</v>
      </c>
      <c r="C99" s="4" t="s">
        <v>14</v>
      </c>
    </row>
    <row r="100" ht="36" customHeight="1" spans="1:3">
      <c r="A100" s="2">
        <v>32</v>
      </c>
      <c r="B100" s="3" t="s">
        <v>123</v>
      </c>
      <c r="C100" s="4" t="s">
        <v>16</v>
      </c>
    </row>
    <row r="101" ht="36" customHeight="1" spans="1:3">
      <c r="A101" s="2">
        <v>32</v>
      </c>
      <c r="B101" s="3" t="s">
        <v>124</v>
      </c>
      <c r="C101" s="4" t="s">
        <v>14</v>
      </c>
    </row>
    <row r="102" ht="36" customHeight="1" spans="1:3">
      <c r="A102" s="2">
        <v>32</v>
      </c>
      <c r="B102" s="3" t="s">
        <v>125</v>
      </c>
      <c r="C102" s="4" t="s">
        <v>14</v>
      </c>
    </row>
    <row r="103" ht="36" customHeight="1" spans="1:3">
      <c r="A103" s="2">
        <v>32</v>
      </c>
      <c r="B103" s="3" t="s">
        <v>126</v>
      </c>
      <c r="C103" s="4" t="s">
        <v>13</v>
      </c>
    </row>
    <row r="104" ht="36" customHeight="1" spans="1:3">
      <c r="A104" s="2">
        <v>32</v>
      </c>
      <c r="B104" s="3" t="s">
        <v>127</v>
      </c>
      <c r="C104" s="4" t="s">
        <v>16</v>
      </c>
    </row>
    <row r="105" ht="36" customHeight="1" spans="1:3">
      <c r="A105" s="2">
        <v>32</v>
      </c>
      <c r="B105" s="3" t="s">
        <v>128</v>
      </c>
      <c r="C105" s="4" t="s">
        <v>13</v>
      </c>
    </row>
    <row r="106" ht="36" customHeight="1" spans="1:3">
      <c r="A106" s="2">
        <v>32</v>
      </c>
      <c r="B106" s="3" t="s">
        <v>129</v>
      </c>
      <c r="C106" s="4" t="s">
        <v>14</v>
      </c>
    </row>
    <row r="107" ht="36" customHeight="1" spans="1:3">
      <c r="A107" s="2">
        <v>32</v>
      </c>
      <c r="B107" s="3" t="s">
        <v>130</v>
      </c>
      <c r="C107" s="4" t="s">
        <v>14</v>
      </c>
    </row>
    <row r="108" ht="36" customHeight="1" spans="1:3">
      <c r="A108" s="2">
        <v>32</v>
      </c>
      <c r="B108" s="3" t="s">
        <v>131</v>
      </c>
      <c r="C108" s="4" t="s">
        <v>14</v>
      </c>
    </row>
    <row r="109" ht="36" customHeight="1" spans="1:3">
      <c r="A109" s="2">
        <v>32</v>
      </c>
      <c r="B109" s="3" t="s">
        <v>132</v>
      </c>
      <c r="C109" s="4" t="s">
        <v>14</v>
      </c>
    </row>
    <row r="110" ht="36" customHeight="1" spans="1:3">
      <c r="A110" s="2">
        <v>32</v>
      </c>
      <c r="B110" s="3" t="s">
        <v>133</v>
      </c>
      <c r="C110" s="4" t="s">
        <v>14</v>
      </c>
    </row>
    <row r="111" ht="36" customHeight="1" spans="1:3">
      <c r="A111" s="2">
        <v>33</v>
      </c>
      <c r="B111" s="3" t="s">
        <v>134</v>
      </c>
      <c r="C111" s="4" t="s">
        <v>13</v>
      </c>
    </row>
    <row r="112" ht="36" customHeight="1" spans="1:3">
      <c r="A112" s="2">
        <v>33</v>
      </c>
      <c r="B112" s="3" t="s">
        <v>135</v>
      </c>
      <c r="C112" s="4" t="s">
        <v>16</v>
      </c>
    </row>
    <row r="113" ht="36" customHeight="1" spans="1:3">
      <c r="A113" s="2">
        <v>33</v>
      </c>
      <c r="B113" s="3" t="s">
        <v>136</v>
      </c>
      <c r="C113" s="4" t="s">
        <v>13</v>
      </c>
    </row>
    <row r="114" ht="36" customHeight="1" spans="1:3">
      <c r="A114" s="2">
        <v>33</v>
      </c>
      <c r="B114" s="3" t="s">
        <v>137</v>
      </c>
      <c r="C114" s="4" t="s">
        <v>13</v>
      </c>
    </row>
    <row r="115" ht="36" customHeight="1" spans="1:3">
      <c r="A115" s="2">
        <v>33</v>
      </c>
      <c r="B115" s="3" t="s">
        <v>138</v>
      </c>
      <c r="C115" s="4" t="s">
        <v>14</v>
      </c>
    </row>
    <row r="116" ht="36" customHeight="1" spans="1:3">
      <c r="A116" s="2">
        <v>33</v>
      </c>
      <c r="B116" s="3" t="s">
        <v>139</v>
      </c>
      <c r="C116" s="4" t="s">
        <v>15</v>
      </c>
    </row>
    <row r="117" ht="36" customHeight="1" spans="1:3">
      <c r="A117" s="2">
        <v>33</v>
      </c>
      <c r="B117" s="3" t="s">
        <v>140</v>
      </c>
      <c r="C117" s="4" t="s">
        <v>15</v>
      </c>
    </row>
    <row r="118" ht="36" customHeight="1" spans="1:3">
      <c r="A118" s="2">
        <v>34</v>
      </c>
      <c r="B118" s="3" t="s">
        <v>141</v>
      </c>
      <c r="C118" s="4" t="s">
        <v>15</v>
      </c>
    </row>
    <row r="119" ht="36" customHeight="1" spans="1:3">
      <c r="A119" s="2">
        <v>34</v>
      </c>
      <c r="B119" s="3" t="s">
        <v>142</v>
      </c>
      <c r="C119" s="4" t="s">
        <v>15</v>
      </c>
    </row>
    <row r="120" ht="36" customHeight="1" spans="1:3">
      <c r="A120" s="2">
        <v>34</v>
      </c>
      <c r="B120" s="3" t="s">
        <v>143</v>
      </c>
      <c r="C120" s="4" t="s">
        <v>15</v>
      </c>
    </row>
    <row r="121" ht="36" customHeight="1" spans="1:3">
      <c r="A121" s="2">
        <v>34</v>
      </c>
      <c r="B121" s="3" t="s">
        <v>144</v>
      </c>
      <c r="C121" s="4" t="s">
        <v>15</v>
      </c>
    </row>
    <row r="122" ht="36" customHeight="1" spans="1:3">
      <c r="A122" s="2">
        <v>34</v>
      </c>
      <c r="B122" s="3" t="s">
        <v>145</v>
      </c>
      <c r="C122" s="4" t="s">
        <v>15</v>
      </c>
    </row>
    <row r="123" ht="36" customHeight="1" spans="1:3">
      <c r="A123" s="2">
        <v>34</v>
      </c>
      <c r="B123" s="3" t="s">
        <v>146</v>
      </c>
      <c r="C123" s="4" t="s">
        <v>13</v>
      </c>
    </row>
    <row r="124" ht="36" customHeight="1" spans="1:3">
      <c r="A124" s="2">
        <v>34</v>
      </c>
      <c r="B124" s="3" t="s">
        <v>147</v>
      </c>
      <c r="C124" s="4" t="s">
        <v>16</v>
      </c>
    </row>
    <row r="125" ht="36" customHeight="1" spans="1:3">
      <c r="A125" s="2">
        <v>34</v>
      </c>
      <c r="B125" s="3" t="s">
        <v>148</v>
      </c>
      <c r="C125" s="4" t="s">
        <v>17</v>
      </c>
    </row>
    <row r="126" ht="36" customHeight="1" spans="1:3">
      <c r="A126" s="2">
        <v>34</v>
      </c>
      <c r="B126" s="3" t="s">
        <v>149</v>
      </c>
      <c r="C126" s="4" t="s">
        <v>17</v>
      </c>
    </row>
    <row r="127" ht="36" customHeight="1" spans="1:3">
      <c r="A127" s="2">
        <v>34</v>
      </c>
      <c r="B127" s="3" t="s">
        <v>150</v>
      </c>
      <c r="C127" s="4" t="s">
        <v>14</v>
      </c>
    </row>
    <row r="128" ht="36" customHeight="1" spans="1:3">
      <c r="A128" s="2">
        <v>34</v>
      </c>
      <c r="B128" s="3" t="s">
        <v>151</v>
      </c>
      <c r="C128" s="4" t="s">
        <v>14</v>
      </c>
    </row>
    <row r="129" ht="36" customHeight="1" spans="1:3">
      <c r="A129" s="2">
        <v>34</v>
      </c>
      <c r="B129" s="3" t="s">
        <v>152</v>
      </c>
      <c r="C129" s="4" t="s">
        <v>16</v>
      </c>
    </row>
    <row r="130" ht="36" customHeight="1" spans="1:3">
      <c r="A130" s="2">
        <v>34</v>
      </c>
      <c r="B130" s="3" t="s">
        <v>153</v>
      </c>
      <c r="C130" s="4" t="s">
        <v>15</v>
      </c>
    </row>
    <row r="131" ht="36" customHeight="1" spans="1:3">
      <c r="A131" s="2">
        <v>34</v>
      </c>
      <c r="B131" s="3" t="s">
        <v>154</v>
      </c>
      <c r="C131" s="4" t="s">
        <v>16</v>
      </c>
    </row>
    <row r="132" ht="36" customHeight="1" spans="1:3">
      <c r="A132" s="2">
        <v>35</v>
      </c>
      <c r="B132" s="3" t="s">
        <v>155</v>
      </c>
      <c r="C132" s="4" t="s">
        <v>13</v>
      </c>
    </row>
    <row r="133" ht="36" customHeight="1" spans="1:3">
      <c r="A133" s="2">
        <v>35</v>
      </c>
      <c r="B133" s="3" t="s">
        <v>156</v>
      </c>
      <c r="C133" s="4" t="s">
        <v>13</v>
      </c>
    </row>
    <row r="134" ht="36" customHeight="1" spans="1:3">
      <c r="A134" s="2">
        <v>35</v>
      </c>
      <c r="B134" s="3" t="s">
        <v>157</v>
      </c>
      <c r="C134" s="4" t="s">
        <v>13</v>
      </c>
    </row>
    <row r="135" ht="36" customHeight="1" spans="1:3">
      <c r="A135" s="2">
        <v>35</v>
      </c>
      <c r="B135" s="3" t="s">
        <v>158</v>
      </c>
      <c r="C135" s="4" t="s">
        <v>14</v>
      </c>
    </row>
    <row r="136" ht="36" customHeight="1" spans="1:3">
      <c r="A136" s="2">
        <v>35</v>
      </c>
      <c r="B136" s="3" t="s">
        <v>159</v>
      </c>
      <c r="C136" s="4" t="s">
        <v>16</v>
      </c>
    </row>
    <row r="137" ht="36" customHeight="1" spans="1:3">
      <c r="A137" s="2">
        <v>36</v>
      </c>
      <c r="B137" s="3" t="s">
        <v>160</v>
      </c>
      <c r="C137" s="4" t="s">
        <v>14</v>
      </c>
    </row>
    <row r="138" ht="36" customHeight="1" spans="1:3">
      <c r="A138" s="2">
        <v>36</v>
      </c>
      <c r="B138" s="3" t="s">
        <v>161</v>
      </c>
      <c r="C138" s="4" t="s">
        <v>13</v>
      </c>
    </row>
    <row r="139" ht="36" customHeight="1" spans="1:3">
      <c r="A139" s="2">
        <v>36</v>
      </c>
      <c r="B139" s="3" t="s">
        <v>162</v>
      </c>
      <c r="C139" s="4" t="s">
        <v>16</v>
      </c>
    </row>
    <row r="140" ht="36" customHeight="1" spans="1:3">
      <c r="A140" s="2">
        <v>36</v>
      </c>
      <c r="B140" s="3" t="s">
        <v>163</v>
      </c>
      <c r="C140" s="4" t="s">
        <v>14</v>
      </c>
    </row>
    <row r="141" ht="36" customHeight="1" spans="1:3">
      <c r="A141" s="2">
        <v>36</v>
      </c>
      <c r="B141" s="3" t="s">
        <v>164</v>
      </c>
      <c r="C141" s="4" t="s">
        <v>14</v>
      </c>
    </row>
    <row r="142" ht="36" customHeight="1" spans="1:3">
      <c r="A142" s="2">
        <v>36</v>
      </c>
      <c r="B142" s="3" t="s">
        <v>165</v>
      </c>
      <c r="C142" s="4" t="s">
        <v>14</v>
      </c>
    </row>
    <row r="143" ht="36" customHeight="1" spans="1:3">
      <c r="A143" s="2">
        <v>36</v>
      </c>
      <c r="B143" s="3" t="s">
        <v>166</v>
      </c>
      <c r="C143" s="4" t="s">
        <v>14</v>
      </c>
    </row>
    <row r="144" ht="36" customHeight="1" spans="1:3">
      <c r="A144" s="2">
        <v>36</v>
      </c>
      <c r="B144" s="3" t="s">
        <v>167</v>
      </c>
      <c r="C144" s="4" t="s">
        <v>13</v>
      </c>
    </row>
    <row r="145" ht="36" customHeight="1" spans="1:3">
      <c r="A145" s="2">
        <v>36</v>
      </c>
      <c r="B145" s="3" t="s">
        <v>168</v>
      </c>
      <c r="C145" s="4" t="s">
        <v>14</v>
      </c>
    </row>
    <row r="146" ht="36" customHeight="1" spans="1:3">
      <c r="A146" s="2">
        <v>36</v>
      </c>
      <c r="B146" s="3" t="s">
        <v>169</v>
      </c>
      <c r="C146" s="4" t="s">
        <v>13</v>
      </c>
    </row>
    <row r="147" ht="36" customHeight="1" spans="1:3">
      <c r="A147" s="2">
        <v>36</v>
      </c>
      <c r="B147" s="3" t="s">
        <v>170</v>
      </c>
      <c r="C147" s="4" t="s">
        <v>14</v>
      </c>
    </row>
    <row r="148" ht="36" customHeight="1" spans="1:3">
      <c r="A148" s="2">
        <v>36</v>
      </c>
      <c r="B148" s="3" t="s">
        <v>171</v>
      </c>
      <c r="C148" s="4" t="s">
        <v>14</v>
      </c>
    </row>
    <row r="149" ht="36" customHeight="1" spans="1:3">
      <c r="A149" s="2">
        <v>36</v>
      </c>
      <c r="B149" s="3" t="s">
        <v>172</v>
      </c>
      <c r="C149" s="4" t="s">
        <v>14</v>
      </c>
    </row>
    <row r="150" ht="36" customHeight="1" spans="1:3">
      <c r="A150" s="2">
        <v>36</v>
      </c>
      <c r="B150" s="3" t="s">
        <v>173</v>
      </c>
      <c r="C150" s="4" t="s">
        <v>13</v>
      </c>
    </row>
    <row r="151" ht="36" customHeight="1" spans="1:3">
      <c r="A151" s="2">
        <v>36</v>
      </c>
      <c r="B151" s="3" t="s">
        <v>174</v>
      </c>
      <c r="C151" s="4" t="s">
        <v>15</v>
      </c>
    </row>
    <row r="152" ht="36" customHeight="1" spans="1:3">
      <c r="A152" s="2">
        <v>36</v>
      </c>
      <c r="B152" s="3" t="s">
        <v>175</v>
      </c>
      <c r="C152" s="4" t="s">
        <v>13</v>
      </c>
    </row>
  </sheetData>
  <autoFilter ref="A1:C15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Resumo geral</vt:lpstr>
      <vt:lpstr>Detalhes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martins</dc:creator>
  <cp:lastModifiedBy>maysu-lp</cp:lastModifiedBy>
  <dcterms:created xsi:type="dcterms:W3CDTF">2026-03-27T19:03:00Z</dcterms:created>
  <dcterms:modified xsi:type="dcterms:W3CDTF">2026-03-27T19:59:23Z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